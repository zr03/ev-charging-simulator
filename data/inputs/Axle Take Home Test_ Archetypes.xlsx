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371e05499f978af/Desktop/claude/axle_energy_ev_simulator_exercise/"/>
    </mc:Choice>
  </mc:AlternateContent>
  <xr:revisionPtr revIDLastSave="14" documentId="11_2A64312A9C5DEF8649FB8F143C2D519968B64832" xr6:coauthVersionLast="47" xr6:coauthVersionMax="47" xr10:uidLastSave="{B26C8E08-DC8F-4743-AA46-D6CA842E655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2" i="1"/>
  <c r="R3" i="1"/>
  <c r="R4" i="1"/>
  <c r="R5" i="1"/>
  <c r="R6" i="1"/>
  <c r="R7" i="1"/>
  <c r="R2" i="1"/>
  <c r="Q3" i="1"/>
  <c r="Q4" i="1"/>
  <c r="Q5" i="1"/>
  <c r="Q6" i="1"/>
  <c r="Q7" i="1"/>
  <c r="Q2" i="1"/>
</calcChain>
</file>

<file path=xl/sharedStrings.xml><?xml version="1.0" encoding="utf-8"?>
<sst xmlns="http://schemas.openxmlformats.org/spreadsheetml/2006/main" count="25" uniqueCount="25">
  <si>
    <t>#</t>
  </si>
  <si>
    <t>Name</t>
  </si>
  <si>
    <t>% of population</t>
  </si>
  <si>
    <t>Miles/yr</t>
  </si>
  <si>
    <t>Battery (kWh)</t>
  </si>
  <si>
    <t>Efficiency (mi/kWh)</t>
  </si>
  <si>
    <t>Plug-in frequency (per day)</t>
  </si>
  <si>
    <t>Charger kW</t>
  </si>
  <si>
    <t>Plug-in time</t>
  </si>
  <si>
    <t>Plug-out time</t>
  </si>
  <si>
    <t>Target SoC</t>
  </si>
  <si>
    <t>kWh/year</t>
  </si>
  <si>
    <t>kWh/plug-in</t>
  </si>
  <si>
    <t>Plug-in SoC</t>
  </si>
  <si>
    <t>SoC requirement</t>
  </si>
  <si>
    <t>Charging duration (hrs)</t>
  </si>
  <si>
    <t>Average (UK)</t>
  </si>
  <si>
    <t>Intelligent Octopus average</t>
  </si>
  <si>
    <t>Infrequent charging</t>
  </si>
  <si>
    <t>Infrequent driving</t>
  </si>
  <si>
    <t>Scheduled charging</t>
  </si>
  <si>
    <t>Always plugged-in</t>
  </si>
  <si>
    <t>Average miles/day</t>
  </si>
  <si>
    <t>Average kWh/day</t>
  </si>
  <si>
    <t>Average SoC drop/day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</si>
</sst>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8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7"/>
  <sheetViews>
    <sheetView tabSelected="1" topLeftCell="F1" workbookViewId="0">
      <selection activeCell="S1" sqref="S1"/>
    </sheetView>
  </sheetViews>
  <sheetFormatPr defaultColWidth="12.6640625" defaultRowHeight="15.75" customHeight="1" x14ac:dyDescent="0.25"/>
  <cols>
    <col min="1" max="1" width="7.21875" customWidth="1"/>
    <col min="2" max="2" width="24.21875" customWidth="1"/>
    <col min="3" max="3" width="16.6640625" customWidth="1"/>
    <col min="6" max="6" width="18" bestFit="1" customWidth="1"/>
    <col min="17" max="17" width="16.88671875" bestFit="1" customWidth="1"/>
    <col min="18" max="18" width="16.44140625" bestFit="1" customWidth="1"/>
    <col min="19" max="19" width="20.88671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22</v>
      </c>
      <c r="R1" s="1" t="s">
        <v>23</v>
      </c>
      <c r="S1" s="1" t="s">
        <v>24</v>
      </c>
    </row>
    <row r="2" spans="1:19" x14ac:dyDescent="0.25">
      <c r="A2" s="2">
        <v>1</v>
      </c>
      <c r="B2" s="2" t="s">
        <v>16</v>
      </c>
      <c r="C2" s="2">
        <v>40</v>
      </c>
      <c r="D2" s="2">
        <v>9435</v>
      </c>
      <c r="E2" s="2">
        <v>60</v>
      </c>
      <c r="F2" s="2">
        <v>3.5</v>
      </c>
      <c r="G2" s="2">
        <v>1</v>
      </c>
      <c r="H2" s="2">
        <v>7</v>
      </c>
      <c r="I2" s="3">
        <v>0.75</v>
      </c>
      <c r="J2" s="3">
        <v>0.29166666666666669</v>
      </c>
      <c r="K2" s="4">
        <v>0.8</v>
      </c>
      <c r="L2" s="2">
        <v>2696</v>
      </c>
      <c r="M2" s="2">
        <v>7</v>
      </c>
      <c r="N2" s="4">
        <v>0.68</v>
      </c>
      <c r="O2" s="4">
        <v>0.12</v>
      </c>
      <c r="P2" s="2">
        <v>1</v>
      </c>
      <c r="Q2">
        <f>D2/365</f>
        <v>25.849315068493151</v>
      </c>
      <c r="R2">
        <f>Q2/F2</f>
        <v>7.3855185909980436</v>
      </c>
      <c r="S2" s="5">
        <f>R2/E2</f>
        <v>0.12309197651663406</v>
      </c>
    </row>
    <row r="3" spans="1:19" x14ac:dyDescent="0.25">
      <c r="A3" s="2">
        <v>2</v>
      </c>
      <c r="B3" s="2" t="s">
        <v>17</v>
      </c>
      <c r="C3" s="2">
        <v>30</v>
      </c>
      <c r="D3" s="2">
        <v>28105</v>
      </c>
      <c r="E3" s="2">
        <v>72.5</v>
      </c>
      <c r="F3" s="2">
        <v>3.5</v>
      </c>
      <c r="G3" s="2">
        <v>1</v>
      </c>
      <c r="H3" s="2">
        <v>7</v>
      </c>
      <c r="I3" s="3">
        <v>0.75</v>
      </c>
      <c r="J3" s="3">
        <v>0.29166666666666669</v>
      </c>
      <c r="K3" s="4">
        <v>0.8</v>
      </c>
      <c r="L3" s="2">
        <v>8030</v>
      </c>
      <c r="M3" s="2">
        <v>22</v>
      </c>
      <c r="N3" s="4">
        <v>0.52</v>
      </c>
      <c r="O3" s="4">
        <v>0.28000000000000003</v>
      </c>
      <c r="P3" s="2">
        <v>2.5</v>
      </c>
      <c r="Q3">
        <f t="shared" ref="Q3:Q7" si="0">D3/365</f>
        <v>77</v>
      </c>
      <c r="R3">
        <f t="shared" ref="R3:R7" si="1">Q3/F3</f>
        <v>22</v>
      </c>
      <c r="S3" s="5">
        <f t="shared" ref="S3:S7" si="2">R3/E3</f>
        <v>0.30344827586206896</v>
      </c>
    </row>
    <row r="4" spans="1:19" x14ac:dyDescent="0.25">
      <c r="A4" s="2">
        <v>3</v>
      </c>
      <c r="B4" s="2" t="s">
        <v>18</v>
      </c>
      <c r="C4" s="2">
        <v>10</v>
      </c>
      <c r="D4" s="2">
        <v>9435</v>
      </c>
      <c r="E4" s="2">
        <v>60</v>
      </c>
      <c r="F4" s="2">
        <v>3.5</v>
      </c>
      <c r="G4" s="2">
        <v>0.2</v>
      </c>
      <c r="H4" s="2">
        <v>7</v>
      </c>
      <c r="I4" s="3">
        <v>0.75</v>
      </c>
      <c r="J4" s="3">
        <v>0.29166666666666669</v>
      </c>
      <c r="K4" s="4">
        <v>0.8</v>
      </c>
      <c r="L4" s="2">
        <v>2696</v>
      </c>
      <c r="M4" s="2">
        <v>37</v>
      </c>
      <c r="N4" s="4">
        <v>0.18</v>
      </c>
      <c r="O4" s="4">
        <v>0.62</v>
      </c>
      <c r="P4" s="2">
        <v>5</v>
      </c>
      <c r="Q4">
        <f t="shared" si="0"/>
        <v>25.849315068493151</v>
      </c>
      <c r="R4">
        <f t="shared" si="1"/>
        <v>7.3855185909980436</v>
      </c>
      <c r="S4" s="5">
        <f t="shared" si="2"/>
        <v>0.12309197651663406</v>
      </c>
    </row>
    <row r="5" spans="1:19" x14ac:dyDescent="0.25">
      <c r="A5" s="2">
        <v>4</v>
      </c>
      <c r="B5" s="2" t="s">
        <v>19</v>
      </c>
      <c r="C5" s="2">
        <v>10</v>
      </c>
      <c r="D5" s="2">
        <v>5700</v>
      </c>
      <c r="E5" s="2">
        <v>60</v>
      </c>
      <c r="F5" s="2">
        <v>3.5</v>
      </c>
      <c r="G5" s="2">
        <v>1</v>
      </c>
      <c r="H5" s="2">
        <v>7</v>
      </c>
      <c r="I5" s="3">
        <v>0.75</v>
      </c>
      <c r="J5" s="3">
        <v>0.29166666666666669</v>
      </c>
      <c r="K5" s="4">
        <v>0.8</v>
      </c>
      <c r="L5" s="2">
        <v>1629</v>
      </c>
      <c r="M5" s="2">
        <v>4</v>
      </c>
      <c r="N5" s="4">
        <v>0.73</v>
      </c>
      <c r="O5" s="4">
        <v>7.0000000000000007E-2</v>
      </c>
      <c r="P5" s="2">
        <v>1</v>
      </c>
      <c r="Q5">
        <f t="shared" si="0"/>
        <v>15.616438356164384</v>
      </c>
      <c r="R5">
        <f t="shared" si="1"/>
        <v>4.4618395303326812</v>
      </c>
      <c r="S5" s="5">
        <f t="shared" si="2"/>
        <v>7.436399217221136E-2</v>
      </c>
    </row>
    <row r="6" spans="1:19" x14ac:dyDescent="0.25">
      <c r="A6" s="2">
        <v>5</v>
      </c>
      <c r="B6" s="2" t="s">
        <v>20</v>
      </c>
      <c r="C6" s="2">
        <v>9</v>
      </c>
      <c r="D6" s="2">
        <v>9435</v>
      </c>
      <c r="E6" s="2">
        <v>60</v>
      </c>
      <c r="F6" s="2">
        <v>3.5</v>
      </c>
      <c r="G6" s="2">
        <v>1</v>
      </c>
      <c r="H6" s="2">
        <v>7</v>
      </c>
      <c r="I6" s="3">
        <v>0.91666666666666663</v>
      </c>
      <c r="J6" s="3">
        <v>0.375</v>
      </c>
      <c r="K6" s="4">
        <v>0.8</v>
      </c>
      <c r="L6" s="2">
        <v>2696</v>
      </c>
      <c r="M6" s="2">
        <v>7</v>
      </c>
      <c r="N6" s="4">
        <v>0.68</v>
      </c>
      <c r="O6" s="4">
        <v>0.12</v>
      </c>
      <c r="P6" s="2">
        <v>1</v>
      </c>
      <c r="Q6">
        <f t="shared" si="0"/>
        <v>25.849315068493151</v>
      </c>
      <c r="R6">
        <f t="shared" si="1"/>
        <v>7.3855185909980436</v>
      </c>
      <c r="S6" s="5">
        <f t="shared" si="2"/>
        <v>0.12309197651663406</v>
      </c>
    </row>
    <row r="7" spans="1:19" x14ac:dyDescent="0.25">
      <c r="A7" s="2">
        <v>6</v>
      </c>
      <c r="B7" s="2" t="s">
        <v>21</v>
      </c>
      <c r="C7" s="2">
        <v>1</v>
      </c>
      <c r="D7" s="2">
        <v>9435</v>
      </c>
      <c r="E7" s="2">
        <v>60</v>
      </c>
      <c r="F7" s="2">
        <v>3.5</v>
      </c>
      <c r="G7" s="2">
        <v>1</v>
      </c>
      <c r="H7" s="2">
        <v>7</v>
      </c>
      <c r="I7" s="3">
        <v>0</v>
      </c>
      <c r="J7" s="3">
        <v>0.99930555555555556</v>
      </c>
      <c r="K7" s="4">
        <v>0.8</v>
      </c>
      <c r="L7" s="2">
        <v>2696</v>
      </c>
      <c r="M7" s="2">
        <v>7</v>
      </c>
      <c r="N7" s="4">
        <v>0.68</v>
      </c>
      <c r="O7" s="4">
        <v>0.12</v>
      </c>
      <c r="P7" s="2">
        <v>1</v>
      </c>
      <c r="Q7">
        <f t="shared" si="0"/>
        <v>25.849315068493151</v>
      </c>
      <c r="R7">
        <f t="shared" si="1"/>
        <v>7.3855185909980436</v>
      </c>
      <c r="S7" s="5">
        <f t="shared" si="2"/>
        <v>0.12309197651663406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alfaradhi</cp:lastModifiedBy>
  <dcterms:modified xsi:type="dcterms:W3CDTF">2026-10-07T11:04:31Z</dcterms:modified>
</cp:coreProperties>
</file>